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50bc174f987a832/Desktop/y3 lets gooo/Chapter 2/DM/"/>
    </mc:Choice>
  </mc:AlternateContent>
  <xr:revisionPtr revIDLastSave="11" documentId="11_CA7B328EF3E5CF647474E8DF5A46FB0410228C68" xr6:coauthVersionLast="47" xr6:coauthVersionMax="47" xr10:uidLastSave="{AADDF8DC-A99B-4F3A-AC6A-6026BB8FF033}"/>
  <bookViews>
    <workbookView xWindow="-108" yWindow="-108" windowWidth="23256" windowHeight="12456" xr2:uid="{00000000-000D-0000-FFFF-FFFF00000000}"/>
  </bookViews>
  <sheets>
    <sheet name="ชุดที่ 1" sheetId="1" r:id="rId1"/>
    <sheet name="ชุดที่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4" i="1" s="1"/>
  <c r="D9" i="1"/>
  <c r="K4" i="1" s="1"/>
  <c r="D8" i="1"/>
  <c r="D10" i="1"/>
  <c r="K6" i="1" s="1"/>
  <c r="D7" i="1"/>
  <c r="D6" i="1"/>
  <c r="D5" i="1"/>
  <c r="D4" i="1"/>
  <c r="K5" i="1" s="1"/>
  <c r="D3" i="1"/>
  <c r="K7" i="1" s="1"/>
  <c r="L7" i="1" s="1"/>
  <c r="D2" i="1"/>
  <c r="K3" i="1" s="1"/>
  <c r="L3" i="1" s="1"/>
  <c r="G3" i="1" l="1"/>
  <c r="G11" i="1"/>
  <c r="G10" i="1"/>
  <c r="G9" i="1"/>
  <c r="G8" i="1"/>
  <c r="G7" i="1"/>
  <c r="G6" i="1"/>
  <c r="G5" i="1"/>
  <c r="L5" i="1"/>
  <c r="L6" i="1"/>
  <c r="L4" i="1"/>
  <c r="D11" i="1"/>
</calcChain>
</file>

<file path=xl/sharedStrings.xml><?xml version="1.0" encoding="utf-8"?>
<sst xmlns="http://schemas.openxmlformats.org/spreadsheetml/2006/main" count="30" uniqueCount="25">
  <si>
    <t>Grades</t>
  </si>
  <si>
    <t>Min</t>
  </si>
  <si>
    <t>Max</t>
  </si>
  <si>
    <t>Median</t>
  </si>
  <si>
    <t>Mode</t>
  </si>
  <si>
    <t>Mean</t>
  </si>
  <si>
    <t>VAR</t>
  </si>
  <si>
    <t>S.D.</t>
  </si>
  <si>
    <t>Q1</t>
  </si>
  <si>
    <t>Q3</t>
  </si>
  <si>
    <t>IQR</t>
  </si>
  <si>
    <t>Bin</t>
  </si>
  <si>
    <t>Frequency</t>
  </si>
  <si>
    <t>Interval</t>
  </si>
  <si>
    <t>1-20</t>
  </si>
  <si>
    <t>21-30</t>
  </si>
  <si>
    <t>31-40</t>
  </si>
  <si>
    <t>41-50</t>
  </si>
  <si>
    <t>51-60</t>
  </si>
  <si>
    <t>61-70</t>
  </si>
  <si>
    <t>71-80</t>
  </si>
  <si>
    <t>81-90</t>
  </si>
  <si>
    <t>91-100</t>
  </si>
  <si>
    <t>Difference</t>
  </si>
  <si>
    <t>Ice Cream Sales vs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</si>
</sst>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'ชุดที่ 1'!$H$3:$H$11</c:f>
              <c:strCache>
                <c:ptCount val="9"/>
                <c:pt idx="0">
                  <c:v>1-20</c:v>
                </c:pt>
                <c:pt idx="1">
                  <c:v>21-30</c:v>
                </c:pt>
                <c:pt idx="2">
                  <c:v>31-40</c:v>
                </c:pt>
                <c:pt idx="3">
                  <c:v>41-50</c:v>
                </c:pt>
                <c:pt idx="4">
                  <c:v>51-60</c:v>
                </c:pt>
                <c:pt idx="5">
                  <c:v>61-70</c:v>
                </c:pt>
                <c:pt idx="6">
                  <c:v>71-80</c:v>
                </c:pt>
                <c:pt idx="7">
                  <c:v>81-90</c:v>
                </c:pt>
                <c:pt idx="8">
                  <c:v>91-100</c:v>
                </c:pt>
              </c:strCache>
            </c:strRef>
          </c:cat>
          <c:val>
            <c:numRef>
              <c:f>'ชุดที่ 1'!$G$3:$G$11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5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0-40D4-8356-71ADF2198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414269248"/>
        <c:axId val="1414269664"/>
      </c:barChart>
      <c:catAx>
        <c:axId val="141426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69664"/>
        <c:crosses val="autoZero"/>
        <c:auto val="1"/>
        <c:lblAlgn val="ctr"/>
        <c:lblOffset val="100"/>
        <c:noMultiLvlLbl val="0"/>
      </c:catAx>
      <c:valAx>
        <c:axId val="141426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26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val>
            <c:numRef>
              <c:f>'ชุดที่ 1'!$L$3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7-4EE6-A3F9-B9FCDE78411B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fixedVal"/>
            <c:noEndCap val="0"/>
            <c:val val="2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'ชุดที่ 1'!$L$4</c:f>
              <c:numCache>
                <c:formatCode>0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7-4EE6-A3F9-B9FCDE78411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'ชุดที่ 1'!$L$5</c:f>
              <c:numCache>
                <c:formatCode>0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7-4EE6-A3F9-B9FCDE78411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plus"/>
            <c:errValType val="fixedVal"/>
            <c:noEndCap val="0"/>
            <c:val val="2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'ชุดที่ 1'!$L$6</c:f>
              <c:numCache>
                <c:formatCode>0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77-4EE6-A3F9-B9FCDE78411B}"/>
            </c:ext>
          </c:extLst>
        </c:ser>
        <c:ser>
          <c:idx val="4"/>
          <c:order val="4"/>
          <c:spPr>
            <a:noFill/>
            <a:ln>
              <a:noFill/>
            </a:ln>
            <a:effectLst/>
          </c:spPr>
          <c:invertIfNegative val="0"/>
          <c:val>
            <c:numRef>
              <c:f>'ชุดที่ 1'!$L$7</c:f>
              <c:numCache>
                <c:formatCode>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77-4EE6-A3F9-B9FCDE784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9651552"/>
        <c:axId val="1509647392"/>
      </c:barChart>
      <c:catAx>
        <c:axId val="15096515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47392"/>
        <c:crosses val="autoZero"/>
        <c:auto val="1"/>
        <c:lblAlgn val="ctr"/>
        <c:lblOffset val="100"/>
        <c:noMultiLvlLbl val="0"/>
      </c:catAx>
      <c:valAx>
        <c:axId val="1509647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9525</xdr:rowOff>
    </xdr:from>
    <xdr:to>
      <xdr:col>8</xdr:col>
      <xdr:colOff>9525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11</xdr:row>
      <xdr:rowOff>180975</xdr:rowOff>
    </xdr:from>
    <xdr:to>
      <xdr:col>15</xdr:col>
      <xdr:colOff>257175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99" zoomScaleNormal="115" workbookViewId="0">
      <selection activeCell="O7" sqref="O7"/>
    </sheetView>
  </sheetViews>
  <sheetFormatPr defaultRowHeight="14.4" x14ac:dyDescent="0.3"/>
  <cols>
    <col min="7" max="7" width="10.5546875" customWidth="1"/>
    <col min="12" max="12" width="11" customWidth="1"/>
  </cols>
  <sheetData>
    <row r="1" spans="1:12" x14ac:dyDescent="0.3">
      <c r="A1" s="2" t="s">
        <v>0</v>
      </c>
    </row>
    <row r="2" spans="1:12" x14ac:dyDescent="0.3">
      <c r="A2" s="3">
        <v>12</v>
      </c>
      <c r="C2" s="1" t="s">
        <v>1</v>
      </c>
      <c r="D2" s="4">
        <f>MIN(A2:A26)</f>
        <v>12</v>
      </c>
      <c r="F2" s="1" t="s">
        <v>11</v>
      </c>
      <c r="G2" s="1" t="s">
        <v>12</v>
      </c>
      <c r="H2" s="1" t="s">
        <v>13</v>
      </c>
      <c r="L2" t="s">
        <v>23</v>
      </c>
    </row>
    <row r="3" spans="1:12" x14ac:dyDescent="0.3">
      <c r="A3" s="3">
        <v>19</v>
      </c>
      <c r="C3" s="1" t="s">
        <v>2</v>
      </c>
      <c r="D3" s="4">
        <f>MAX(A2:A26)</f>
        <v>100</v>
      </c>
      <c r="F3" s="6">
        <v>20</v>
      </c>
      <c r="G3" s="6">
        <f t="array" ref="G3:G11">FREQUENCY(A2:A26,F3:F11)</f>
        <v>2</v>
      </c>
      <c r="H3" s="6" t="s">
        <v>14</v>
      </c>
      <c r="J3" s="1" t="s">
        <v>1</v>
      </c>
      <c r="K3" s="4">
        <f>D2</f>
        <v>12</v>
      </c>
      <c r="L3">
        <f>K3-0</f>
        <v>12</v>
      </c>
    </row>
    <row r="4" spans="1:12" x14ac:dyDescent="0.3">
      <c r="A4" s="3">
        <v>29</v>
      </c>
      <c r="C4" s="1" t="s">
        <v>3</v>
      </c>
      <c r="D4" s="4">
        <f>MEDIAN(A2:A26)</f>
        <v>67</v>
      </c>
      <c r="F4" s="6">
        <v>30</v>
      </c>
      <c r="G4" s="6">
        <v>1</v>
      </c>
      <c r="H4" s="6" t="s">
        <v>15</v>
      </c>
      <c r="J4" s="1" t="s">
        <v>8</v>
      </c>
      <c r="K4" s="5">
        <f>D9</f>
        <v>52</v>
      </c>
      <c r="L4" s="7">
        <f>K4-K3</f>
        <v>40</v>
      </c>
    </row>
    <row r="5" spans="1:12" x14ac:dyDescent="0.3">
      <c r="A5" s="3">
        <v>42</v>
      </c>
      <c r="C5" s="1" t="s">
        <v>4</v>
      </c>
      <c r="D5" s="4">
        <f>MODE(A2:A26)</f>
        <v>65</v>
      </c>
      <c r="F5" s="6">
        <v>40</v>
      </c>
      <c r="G5" s="6">
        <v>0</v>
      </c>
      <c r="H5" s="6" t="s">
        <v>16</v>
      </c>
      <c r="J5" s="1" t="s">
        <v>3</v>
      </c>
      <c r="K5" s="4">
        <f>D4</f>
        <v>67</v>
      </c>
      <c r="L5" s="7">
        <f>K5-K4</f>
        <v>15</v>
      </c>
    </row>
    <row r="6" spans="1:12" x14ac:dyDescent="0.3">
      <c r="A6" s="3">
        <v>48</v>
      </c>
      <c r="C6" s="1" t="s">
        <v>5</v>
      </c>
      <c r="D6" s="5">
        <f>AVERAGE(A2:A26)</f>
        <v>65.36</v>
      </c>
      <c r="F6" s="6">
        <v>50</v>
      </c>
      <c r="G6" s="6">
        <v>2</v>
      </c>
      <c r="H6" s="6" t="s">
        <v>17</v>
      </c>
      <c r="J6" s="1" t="s">
        <v>9</v>
      </c>
      <c r="K6" s="5">
        <f>D10</f>
        <v>86</v>
      </c>
      <c r="L6" s="7">
        <f>K6-K5</f>
        <v>19</v>
      </c>
    </row>
    <row r="7" spans="1:12" x14ac:dyDescent="0.3">
      <c r="A7" s="3">
        <v>51</v>
      </c>
      <c r="C7" s="1" t="s">
        <v>6</v>
      </c>
      <c r="D7" s="5">
        <f>VAR(A2:A26)</f>
        <v>546.32333333333315</v>
      </c>
      <c r="F7" s="6">
        <v>60</v>
      </c>
      <c r="G7" s="6">
        <v>4</v>
      </c>
      <c r="H7" s="6" t="s">
        <v>18</v>
      </c>
      <c r="J7" s="1" t="s">
        <v>2</v>
      </c>
      <c r="K7" s="4">
        <f>D3</f>
        <v>100</v>
      </c>
      <c r="L7" s="7">
        <f>K7-K6</f>
        <v>14</v>
      </c>
    </row>
    <row r="8" spans="1:12" x14ac:dyDescent="0.3">
      <c r="A8" s="3">
        <v>52</v>
      </c>
      <c r="C8" s="1" t="s">
        <v>7</v>
      </c>
      <c r="D8" s="5">
        <f>STDEV(A2:A26)</f>
        <v>23.373560561740121</v>
      </c>
      <c r="F8" s="6">
        <v>70</v>
      </c>
      <c r="G8" s="6">
        <v>5</v>
      </c>
      <c r="H8" s="6" t="s">
        <v>19</v>
      </c>
    </row>
    <row r="9" spans="1:12" x14ac:dyDescent="0.3">
      <c r="A9" s="3">
        <v>54</v>
      </c>
      <c r="C9" s="1" t="s">
        <v>8</v>
      </c>
      <c r="D9" s="5">
        <f>QUARTILE($A$2:$A$26,1)</f>
        <v>52</v>
      </c>
      <c r="F9" s="6">
        <v>80</v>
      </c>
      <c r="G9" s="6">
        <v>3</v>
      </c>
      <c r="H9" s="6" t="s">
        <v>20</v>
      </c>
    </row>
    <row r="10" spans="1:12" x14ac:dyDescent="0.3">
      <c r="A10" s="3">
        <v>56</v>
      </c>
      <c r="C10" s="1" t="s">
        <v>9</v>
      </c>
      <c r="D10" s="5">
        <f>QUARTILE($A$2:$A$26,3)</f>
        <v>86</v>
      </c>
      <c r="F10" s="6">
        <v>90</v>
      </c>
      <c r="G10" s="6">
        <v>4</v>
      </c>
      <c r="H10" s="6" t="s">
        <v>21</v>
      </c>
    </row>
    <row r="11" spans="1:12" x14ac:dyDescent="0.3">
      <c r="A11" s="3">
        <v>62</v>
      </c>
      <c r="C11" s="1" t="s">
        <v>10</v>
      </c>
      <c r="D11" s="5">
        <f>D10-D9</f>
        <v>34</v>
      </c>
      <c r="F11" s="6">
        <v>100</v>
      </c>
      <c r="G11" s="6">
        <v>4</v>
      </c>
      <c r="H11" s="6" t="s">
        <v>22</v>
      </c>
    </row>
    <row r="12" spans="1:12" x14ac:dyDescent="0.3">
      <c r="A12" s="3">
        <v>65</v>
      </c>
    </row>
    <row r="13" spans="1:12" x14ac:dyDescent="0.3">
      <c r="A13" s="3">
        <v>65</v>
      </c>
    </row>
    <row r="14" spans="1:12" x14ac:dyDescent="0.3">
      <c r="A14" s="3">
        <v>67</v>
      </c>
    </row>
    <row r="15" spans="1:12" x14ac:dyDescent="0.3">
      <c r="A15" s="3">
        <v>70</v>
      </c>
    </row>
    <row r="16" spans="1:12" x14ac:dyDescent="0.3">
      <c r="A16" s="3">
        <v>72</v>
      </c>
    </row>
    <row r="17" spans="1:1" x14ac:dyDescent="0.3">
      <c r="A17" s="3">
        <v>74</v>
      </c>
    </row>
    <row r="18" spans="1:1" x14ac:dyDescent="0.3">
      <c r="A18" s="3">
        <v>76</v>
      </c>
    </row>
    <row r="19" spans="1:1" x14ac:dyDescent="0.3">
      <c r="A19" s="3">
        <v>82</v>
      </c>
    </row>
    <row r="20" spans="1:1" x14ac:dyDescent="0.3">
      <c r="A20" s="3">
        <v>86</v>
      </c>
    </row>
    <row r="21" spans="1:1" x14ac:dyDescent="0.3">
      <c r="A21" s="3">
        <v>87</v>
      </c>
    </row>
    <row r="22" spans="1:1" x14ac:dyDescent="0.3">
      <c r="A22" s="3">
        <v>88</v>
      </c>
    </row>
    <row r="23" spans="1:1" x14ac:dyDescent="0.3">
      <c r="A23" s="3">
        <v>91</v>
      </c>
    </row>
    <row r="24" spans="1:1" x14ac:dyDescent="0.3">
      <c r="A24" s="3">
        <v>91</v>
      </c>
    </row>
    <row r="25" spans="1:1" x14ac:dyDescent="0.3">
      <c r="A25" s="3">
        <v>95</v>
      </c>
    </row>
    <row r="26" spans="1:1" x14ac:dyDescent="0.3">
      <c r="A26" s="3">
        <v>100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"/>
  <sheetViews>
    <sheetView workbookViewId="0">
      <selection activeCell="C2" sqref="C2"/>
    </sheetView>
  </sheetViews>
  <sheetFormatPr defaultRowHeight="14.4" x14ac:dyDescent="0.3"/>
  <cols>
    <col min="1" max="1" width="15.44140625" customWidth="1"/>
    <col min="2" max="2" width="13.44140625" customWidth="1"/>
  </cols>
  <sheetData>
    <row r="2" spans="1:2" ht="23.25" customHeight="1" x14ac:dyDescent="0.3">
      <c r="A2" s="8" t="s">
        <v>24</v>
      </c>
      <c r="B2" s="8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ชุดที่ 1</vt:lpstr>
      <vt:lpstr>ชุดที่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Chitnupong Narkwong</cp:lastModifiedBy>
  <dcterms:created xsi:type="dcterms:W3CDTF">2025-12-02T08:25:51Z</dcterms:created>
  <dcterms:modified xsi:type="dcterms:W3CDTF">2025-12-06T09:11:18Z</dcterms:modified>
</cp:coreProperties>
</file>